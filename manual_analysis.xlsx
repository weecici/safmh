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<sst xmlns="http://schemas.openxmlformats.org/spreadsheetml/2006/main" count="291" uniqueCount="128">
  <si>
    <t>statement</t>
  </si>
  <si>
    <t>dataset_label</t>
  </si>
  <si>
    <t>codes</t>
  </si>
  <si>
    <t>subcodes</t>
  </si>
  <si>
    <t>evidence_phrases</t>
  </si>
  <si>
    <t>match</t>
  </si>
  <si>
    <t>i wonder what misery awaits me in the msq today but that will have to wait until later i refuse to start off my morning with depression and a side of despair gold saucer shenanigan and such before starting work http t co mmfvogcfiu</t>
  </si>
  <si>
    <t>Depression</t>
  </si>
  <si>
    <t>Depression_Life</t>
  </si>
  <si>
    <t>"misery","depression","despair"</t>
  </si>
  <si>
    <t>Can you share what your indicators are that an episode is coming? Can you feel when a depressive episode is coming on? Is it gradual or sudden for you usually?</t>
  </si>
  <si>
    <t>Depression_Somatic</t>
  </si>
  <si>
    <t>"episode","depressive episode"</t>
  </si>
  <si>
    <t>Direct 2 dong</t>
  </si>
  <si>
    <t>Normal</t>
  </si>
  <si>
    <t>Normal_Noise</t>
  </si>
  <si>
    <t>Fucking hell what is wrong with me, I am so fucking pathetic, why am I even doing this The pain just does not stop</t>
  </si>
  <si>
    <t>Suicidal</t>
  </si>
  <si>
    <t>Suicidal_Immediate_Intent</t>
  </si>
  <si>
    <t>"Fucking hell what is wrong with me","I am so fucking pathetic","why am I even doing this","The pain just does not stop"</t>
  </si>
  <si>
    <t>I have my exams going onn. One over 4 left for the next 4 days. I have not studied anything ... Even though i could have. I feel like the fact that iv wasted a lot of time is eating me up. Right now, i can Surely say that my heart rate is faster than normal, my breathing is heavy, this is how it is been for the whole week. People around me have hopes on me.. i cannot speak this to them. they are beautiful.. i do not want to hurt their good wishes they have had on me. Guys i know this is not as Serious or not even close to what people go through here... But.. excuse me for this one time. Idc even its deleted... Just that i wanted to put this somewhere... Somewhere ! Its not depression but this is what i fell right now !</t>
  </si>
  <si>
    <t>"have not studied anything"," iv wasted a lot of time is eating me up","my heart rate is faster than normal, my breathing is heavy","depression"</t>
  </si>
  <si>
    <t>I do not know how people work 30+ hours per week. I recently got a fairly good job (subjectively); $10/hr, does not care about thc on drug tests (big one for me), young female managers I can relate to, ect. But my phobia of working has only gotten worse since I started. I break down in panic and tears before a shift even if I use all my self soothing techniques. I have lost my appetite (averaging like 900 calories a day) and cannot think about anything else but work, even if I am playing videogames or doing art. I am only 5 days in and I have called out twice for being "sick" (funny that mental illness can be more life-threatening than a cold or flu but somehow those are more valid as an excuse) so they probably think I am a horrible employee and/or lying just to sit at home and watch TV. I cannot quit because I cannot afford rent already. Even if I did I would just have to move on to some other miserable job where everyone is pretending to be happy and get along. Some other miserable job where I work my ass off to get paid less than someone making minimum in another state. it is a waste of time, especially since I am not making a difference or benefiting other than a little money. I have been told to try seeing it as a stepping stone to a job I would enjoy (or at least not dread). The best way I can describe why this strategy does not work is: it feels like everyone has these stepping stones to where we want to be and the life we want, but mine is covered in broken glass and I am barefoot, while everyone else is hopping on smooth stones with tennis shoes. And I do not even think the end goal is worth it. The reality of life is that humans are suffering all the time; Conscious or unconscious. Even if I had my dream life of being some kind of political pundit through my writing and a family, we will all still be oppressed by capitalism and the death of someone close to me can and will happen at any time. I feel incredibly trapped in this life. Defective and Pitiful</t>
  </si>
  <si>
    <t>"my phobia of working has only gotten worse","break down in panic and tears","I have lost my appetite","cannot think about anything else but work","but mine is covered in broken glass and I am barefoot","The reality of life is that humans are suffering all the time","I feel incredibly trapped in this life","Defective and Pitiful"</t>
  </si>
  <si>
    <t>But it's good that the A&amp;W Ipoh Parade is open.</t>
  </si>
  <si>
    <t>Normal_Info</t>
  </si>
  <si>
    <t>i cant live in this world ok its too much its too bad and too evil and i cant handle it anymore theres so much more evil in the world than good almost everyone is just apathetic about all the suffering in the world or people actively contribute to it people harass hate and kill each other for no reason people get killed by natural disasters and most people dont give a shit at all they just think whatever better them than me and move on with their lives</t>
  </si>
  <si>
    <t>Suicidal_Hopelessness</t>
  </si>
  <si>
    <t>"i cant live in this world","i cant handle it anymore","its too much","too bad and too evil","there is so much more evil in the world than good","almost everyone is just apathetic about all the suffering","people harass hate and kill each other for no reason","most people dont give a shit at all","better them than me"</t>
  </si>
  <si>
    <t>I have had a crush on this girl for a very long time, never spoke to her before but around 4 months ago in college she came to me and started talking to me, I am not going to give all the details but basically she gave me signs of her liking me, and when I started giving her signs too she immediately stopped me and told me she was too busy with studies, we did not talk for about 10 days then she came back and we became closer than we ever was before and she even gave me even more signs of her liking me which confused me after what she said earlier, and she used it as an opportunity to get into my group of friends and more precisely to talk to my bestfriend, she gradually started talking less to me, and when she finally could talk to him without needing me she literally started ignoring me and she became extremely rude and mean to me, I am officially done with love for good, I tried multiple times but this right here was the icing on the cake, it is already been really hard for me over the past years with episodes of deep sadness and depression coming and going, but this time it cuts so deep, I do not think I will ever be able to heal from it, it is not the first time that I was used for something, but no one, not even the people that hated me the most, used me in such an immoral way, I feel so empty right now, like, I am just that dude that everyone can make fun of and use to do things you do not have the courage to do by yourself... My long time crush used me in order to get to my bestfriend, I have never felt this bad in my entire life.</t>
  </si>
  <si>
    <t>Depression_Social_Isolation</t>
  </si>
  <si>
    <t>"confused me","she literally started ignoring me and she became extremely rude and mean to me","I am officially done with love for good","episodes of deep sadness and depression coming and going","it cuts so deep","ever be able to heal from it","I have never felt this bad in my entire life"</t>
  </si>
  <si>
    <t>NSFWI have been depressed since a child. I watched my grandfather die at age 4 of a heart attack in front of me, I was sexually assaulted by my neighbors and age 7 my bio dad passed away. When I was 12 one of my friends committed suicide by hanging himself in his home. I lost my paternal grandma age 18, my maternal grandma age 20 and step grandma age 21 all whom I was extremely close with. I lost my uncle a few weeks before Christmas due to a heart attack just after losing my paternal grandmother right before Thanksgiving.In 2015 my cousin was murdered (shot in the back of the head) in 2018 my paternal grandfather to a heart attack and we had to pull the plug, he died on my fathers birthday 6 February which is 6 days before my birthday. Also, in June 2018 I lost my younger brother due to a devastating car accident that left his body mangled and we found this out the day after it happened, right after my other grandfathers funeral. My brother did not have his ID on him so they could not identify him immediately.2020 I lost my aunt due to a heart attack two days after Thanksgiving. 14 January 21 I lost my mother after her battled with Covid-19. Due to having small children, one with severe respiratory issues and the pandemic I had not seen my mother. The last time I saw her alive was in early December at my aunts funeral. That was the last time I hugged her and held her hand.Forward to March and I lost another aunt, she lost her battle with leukemia.there is more death and many other reasons but my main trigger has been death/loss. I have cried because I am tired of living and want to end my life. I get angry that I have kids because I am afraid of what my loss will do to them and my wife. Especially, after already losing a brother and recently losing two aunts and our mother, I am afraid of what would happen to my brothers if I kill myself.But, the desire is increasing everyday. I am miserable, in a miserable marriage with a wife that does not get me and cares solely that her needs (physical touch) are not being met.I am just ready to leave life behind! Death cannot come soon enough</t>
  </si>
  <si>
    <t>"i have cried because i am tired of living and want to end my life","i kill myself","the desire is increasing everyday","i am miserable","i am just ready to leave life behind","death cannot come soon enough"</t>
  </si>
  <si>
    <t>A week ago I was fine. Now all my friends hate my guts, and I cannot go outside because I have fuckhbg Covid. If the virus does not kill me then I sure as hell will do its job for it My life has gone downhill so fast</t>
  </si>
  <si>
    <t>"If the virus does not kill me then I sure as hell will do its job"</t>
  </si>
  <si>
    <t>I am the biggest fucking bitch. I am an angry teddy bear with pillows for hands. And to top it off the only thing I can do is cut where no one can see because I do not want to be abandoned. I cannot do it. I know nobody here will help me do it and no one anywhere will want to but please do. I cannot live anymore. I am not going to put my girlfriend through this anymore. I have my gun literally in my hand but I cannot pull the trigger.</t>
  </si>
  <si>
    <t>"the only thing I can do is cut where no one can see","I cannot live anymore.","I have my gun literally in my hand"</t>
  </si>
  <si>
    <t>yo jimo i cant talk on aim anymore it glitching ill cya later and i hope u see this</t>
  </si>
  <si>
    <t>It seems like the more I get in touch with people the harder it gets to get along with them.. Do I have a social skills disorder or something? because I feel like I cannot live to work in a company one day How do people get along with others?</t>
  </si>
  <si>
    <t>"Do I have a social skills disorder or something?","because I feel like I cannot live to work in a company one day","How do people get along with others?"</t>
  </si>
  <si>
    <t>I had a belt tight around my neck twice last night and seemed really motivated to kill myself. I must have punched myself in the head 15 times last night. Thankfully I did not go through with it but it really feels like just a matter of time. My wife and I drink and smoke weed every night and during the day on weekends. Admittedly we are very functional addicts but mentally it is really taking a toll on me. I cannot seem to communicate with her about this though as she gets really upset when I bring up a desire to stop. We often go through stages where we fight all the time and then go long stretches where its all good. I hate myself so much for what I have become and yet I cannot seem to find the motivation to actually make a change for myself. Instead just wishing it changes on its own. Even killing myself I often wish it would just happen like getting hit by a car or something. How awful is that? I am so lazy and lately I cannot even look at myself in the mirror anymore. We have a beautiful daughter who is growing and developing incredibly well so far and I hate the idea of her not knowing her father. At the same time I hate to think of her knowing her parents as scum. Maybe if I kill myself it will shock my wife into cleaning up and then our daughter can thrive with a sober parent. At the same time maybe that is just me trying to rationalize a selfish act so I do not feel as bad. I keep wishing I was a better person and yet never taking any action. I am the only one that can make a change. It does not just happen but I am too lazy and pathetic to actually do anything. Someday it will happen and the thoughts will stop. I am just looking to get this off of my chest - please disregard</t>
  </si>
  <si>
    <t>Suicidal_Method</t>
  </si>
  <si>
    <t>"I had a belt tight around my neck twice last night","motivated to kill myself","Even killing myself I often wish it would just happen like getting hit by a car or something.","Maybe if I kill myself"</t>
  </si>
  <si>
    <t>I cannot sleep, shaking and my mind feels like its caught in a storm. Like there is too much going on. Too much and I am shakingeverything around me feels like its collapsing..I am not making any fucking sense. I never do, nothing does. I just want to fucking sleep man. Its killing me I just want to rest its funny. It feels like I might not wake up if I close my eyes. Its fucking scary man lol. I am losing it, I am going to lose it and my stomach hurts fuuuuuuuuck Feel weirder</t>
  </si>
  <si>
    <t>"I am shakingeverything around me feels like its collapsing","Its killing me I just want to rest its funny."</t>
  </si>
  <si>
    <t>i ve been having this thought that depression is very to addiction the harder you try to push away depression usually the harder it rip you back in additionally non adicts non depressed think they are strong enough to put down the pill or booze for good or just brighten up and snap out of depression</t>
  </si>
  <si>
    <t>"depression", "the harder you try to push away depression usually the harder it rip you back in"</t>
  </si>
  <si>
    <t>i (15f) have been depressed for like 2 months now. I have been tired every day, irritable and have no motivation to do anything. i think i had PMDD in the past as well. I have had a therapist for at least 3 months, and she knows of my issues. but when i told her i felt depressed all school holidays, she said, i would too if i was doing the same thing everyday for a long time. and basically said i need to be doing my coping strategies (breathing and grounding) like she says every session. when i said I am depressed to my mum, all she is doing is making me go on more walks with her and do my homework which is just making it worse. my friends said they have been tested for depression and anxiety by doctors immediately and I am just so frustrated. why is it not the same for me? why does my family seem to think its no big deal? am i wrong in thinking that there should at least be a discussion of taking meds and that breathing might not be enough to deal with my symptoms? why am i not diagnosed.</t>
  </si>
  <si>
    <t>"have been depressed for like 2 months now", "tired every day, irritable and have no motivation to do anything", "felt depressed all school holidays", "why am i not diagnosed"</t>
  </si>
  <si>
    <t>Hey, all! English is not my native language so please bare with my poor English skills. As the title says: I have an internet friend and he shows hard suicidal thoughts and he also was talking that he will do it until or on Sunday. I am so worried and I honestly do not know what to do. I am so scared that I will lose him. He means a lot to me even though we only know us through the internet. Has anyone ideas what I could do to help him? Help! Internet friend is getting more and more suicidal the last few weeks</t>
  </si>
  <si>
    <t>"shows hard suicidal thoughts", "talking that he will do it until or on Sunday", "so scared that I will lose him", "getting more and more suicidal"</t>
  </si>
  <si>
    <t>ok so i have been anxious for about year now it s only recently got way out of hand i love being on my own or with my partner only i ve became a hermit because being in public around people is just too much for me it s got way worse for the past couple month i can t even cook for a bit of context i have been out of work for almost year now which is probably why i ve only got worse with little to none human interaction i would cook clean etc while my partner worked now i can t even switch the oven on from fear that it will set the fire alarm off the fire alarm are so damn loud i can hear when people have burnt their food a few house down the street i think it s the fear of people knowing it s my house that s making the god awful sound i put food in the oven the other night while my partner wa at work and once the timer wa done on my phone i wa so nervous to open the oven door incase the plume of steam smoke set the alarm off i wa calling my partner leg shaking that bad i had to sit down i put food in the oven last night again and wa again scared to open the oven door i wa at one point just going to turn the oven off leaving the food in there and make toast i don t mind cooking when my partner is home because if the alarm go off i just run and he deal with it lol i m just looking for abit of advice on how to get over this fear it fully take over me tia i don t like to say i have anxiety a i haven t even been to the doctor to get diagnosed and don t want to offend anyone so i ll call it being anxious for now also if this is the wrong sub to put this on mod please feel free to move this post elsewhere</t>
  </si>
  <si>
    <t>"anxious for about year now", "got way out of hand", "became a hermit", "being in public around people is just too much for me", "out of work for almost year", "little to none human interaction", "fear it fully take over me"</t>
  </si>
  <si>
    <t>Just curious about if this causes any pain. I already have my plan and notes ready. I just want to make sure that my last moments are peaceful as I drift away to My music. Charcoal suicide</t>
  </si>
  <si>
    <t>"curious about if this causes any pain", "already have my plan and notes ready", "last moments are peaceful", "drift away", "Charcoal suicide"</t>
  </si>
  <si>
    <t>I do not have anything to say, I just feel empty. I have realize that I am the problem and I do not want to deal with me anymore. I push everyone away, and I always feel alone. The thought of dead is always in my mind, and its been there for many years. The only thing is that before I used to think that I did not have what it takes to just end it, but lately I have been feeling more capable of doing it of just end it. I do not have anything to say</t>
  </si>
  <si>
    <t>"I do not want to deal with me anymore", "The thought of dead is always in my mind", "feeling more capable of doing it of just end it", "just feel empty"</t>
  </si>
  <si>
    <t>ha realized that twitter is getting more attention from her mama then she is hahaha lame</t>
  </si>
  <si>
    <t>Normal_Casual</t>
  </si>
  <si>
    <t>I cannot live like this anymore. Random painful memories pop into my brain throughout the day. I just want to forget. I just want to forget everything, all of the trauma I just want to forget it all</t>
  </si>
  <si>
    <t>"I cannot live like this anymore", "Random painful memories", "I just want to forget everything", "all of the trauma"</t>
  </si>
  <si>
    <t>Make it invisible</t>
  </si>
  <si>
    <t>I know it may sound stupid but I feel so unbearably sad, my heart just arches and I am crying myself to sleep. I just want to lie down next to my mom and cry. And I would want her to say nothing, just let me be close and cry. I want her to understand. I want her to gently stroke my hair and kiss my forehead. I know I am probably too old for this (I am 21) but at the same time it is my mom and nobody is ever too old for mother's love. I do not know. Recently I have been feeling awful and I like to imagine myself hugging my mom. I am going to see her next week so we will be able to spend some time together, maybe this will help me feel a little bit better. Please do not make fun of me. I need my mom</t>
  </si>
  <si>
    <t>Depression_Apathy</t>
  </si>
  <si>
    <t>"feel so unbearably sad", "heart just arches", "crying myself to sleep", "feeling awful", "I need my mom"</t>
  </si>
  <si>
    <t>if I am dead, i cannot feel relief or contentment or whatever. i get it.i cannot keep typing, experiencing, or otherwise going through life moment after moment, minute after minute, hour after hour, day after day, month after month existing as this human that does not feel connected. i cannot keep having breakdowns every day. i cannot keep feeling empty.the same advice gets mentioned: find a hobby, medicate, therapy, meditate, make lists, exercise, get a job, spend time outside, spend time with friends/family. i keep doing all the things (minus therapy and drugs). first day as a 47 year old: not cool.disconnected and pretty close to suicide. repeated thoughts of suicide</t>
  </si>
  <si>
    <t>"if I am dead", "existing as this human that does not feel connected", "cannot keep having breakdowns", "disconnected and pretty close to suicide", "repeated thoughts of suicide"</t>
  </si>
  <si>
    <t>Do you find this normal? They have a good relationship. Main problem I have is She will see her mom in a jail jumpsuit She will see other inmates and women behind bars The guards could be intimidating Is that ok for a 15 year old to see? Actually my daughter does not seem scared but instead seems excited and enthusiastic to visit. This is strange to me.</t>
  </si>
  <si>
    <t>in recent week i ve been starting to learn how to live with my anxiety to the point where i very minimally get anxiety anymore anxiety itself happens a couple time a week still but it s nothing i can t handle today i had an amazing day with friend and of course we drank a lot to the point where i wa very drunk at the end which is okay bc i drink more than average i m 9 anyway it wa an unforgettable day and i went to sleep drunk af boom i wake up with the biggest anxiety attack i ve had in month out of nowhere you all understand anxiety attack so hopefully you get it when i say that i wa totally convinced my body woke me up because i wa dying in my sleep or that a heart attack wa nearing now i m calming down on the couch at 0 am watching the office when i just want to sleep what i just want to get off my chest is that i hate that this stupid disorder follows me around in every aspect of my life it s just really depressing there s nothing i can do to make it stop ever it s just depressing that it s always there around the corner waiting for me i wa so proud of myself for learning how to deal with anxiety but now this shit happened to me and i just feel tired about it i honestly wouldn t wish this on my worst enemy i wouldn t wish it on anyone if i had to choose between infinite money or not having to live with anxiety ever again i d choose the latter every fucking time sorry but i just had to vent about this im just tired</t>
  </si>
  <si>
    <t>"biggest anxiety attack", "convinced... i wa dying in my sleep", "it s just really depressing", "nothing i can do to make it stop ever", "im just tired"</t>
  </si>
  <si>
    <t>Have you ever been amazed by your own dream skkkkk</t>
  </si>
  <si>
    <t>So I miss my high school friends already hadeeh even though I'm currently back home like this, I should have met up with them, but I'm too lazy to go anywhere</t>
  </si>
  <si>
    <t>I have been nearly depressed for more than 6 years and now i feel bad all the time and even scared and terrified about the future .It hurts a lot seeing myself as a loser and think where is that confident ,happy ,cheerful guy that i used to be and what makes life worse is when you let down the people who love and believed in you and it feels like i wish i was better off dead than letting them down. People say those are lucky who have their loved ones but i think it does not matter when they do not understand my pain rather blame me even they know me it hurts really hurts .I think of ending my life as though i do not have guts to do it i think i can when am so hurt but i think of my mother parents my loved ones and think what would happen to them if i die . I think it would be better for them if they never had me as am there in this world to let them down and make their life much more terrible than it already is and the thing is even if i live it gives them and even if i die it gives them pain and i still do not know which one would be better for them .There is a girl who liked or loved when i was in puc but i did not have guts to approach her as who would like a loser like me and she still texts me even after 4 years of college and i feel she is not interested in [me. My]( family does not let me take any decision of my life related to my studies ,degree or anything and to their surpise i flunked in my degree for a guy who is 80+ in every year in school and college. Yet in this miserable life i sometime still hope that things will get better maybe even fantasize that i would be really happy rather pretending to be and doing something in this life am passionate about make my parents proud, happy and be successful and have a life rather than suffering alone always in pain disgusted by myself about the decision i took that brought me to where i am in life and as the day am so scared what suffering and pain the future awaits for me and i wish i could disappear just like that.|||||:-|:-|:-||||| MY LIFE</t>
  </si>
  <si>
    <t>"wish i was better off dead", "I think of ending my life", "think what would happen to them if i die", "even if i die", "wish i could disappear just like that"</t>
  </si>
  <si>
    <t>so, they do a good job for the money.</t>
  </si>
  <si>
    <t>Two of the worst things that ever happened to me happened in July. I was raped, then a few days later I was in a massive accident that ruined my spine, leaving me immobile from the pain for a year. I lost my twenties to this shit. I cannot get my life back. there is no point and I am sooooo fucking tired of the it gets better, do it for someone else. People are awful. They just ruin your and themselves and others. You ruin others. I ruin them. I am tired of dreaming of the ways Id do it. I just want the courage to actually go. I hate this world and everyone in it. July is Awful</t>
  </si>
  <si>
    <t>"I cannot get my life back", "there is no point", "tired of dreaming of the ways Id do it", "want the courage to actually go", "hate this world"</t>
  </si>
  <si>
    <t>Idk if this is the right place to rant but I am in an "situation".I am very much depressed and my psychotherapist told me to take things slow. I do but the thought of costing my parents so much money when I am 21 and still living at home hurts so much and frankly, it is stressing me out more then it should. I tried to get a simple job in a store (you know, product stocking, operate the checkout etc.) but they all want you to have "completed education" in that field. I got rejected twice even though I applied for the stocking positions.I know I do not have the head for education. Maybe I will when my depression is better but I am at a point where I really do not know what to do to make it better.I get so bitter when I see online personalities get money for just being themselves / being funny.Best thing is when these people say neets like me jsut need to get a job. Bro I am trying. Everything moves so quickly. Everyone grows up except me. I did not get the chance to "find" myself in my teens bc of depressionI'm so tired I hate that you need so much for a simple job</t>
  </si>
  <si>
    <t>"very much depressed", "hurts so much", "Everyone grows up except me", "did not get the chance to "find" myself", "I'm so tired"</t>
  </si>
  <si>
    <t>beththepq your blog won t let me comment again</t>
  </si>
  <si>
    <t>i am going to kill myself tonight i am a lesbian grad student at a conservative big name school in america my life up until now has been shit i am lonely girls only want to use me for sex i dont feel loved by friends ive been struggling to find a dissertation lab i invented something for a professor in undergrad but now shes stealing it and giving me no credit i want to make sure i do it the right way so that i am gone i am just fucking tired of not feeling valued</t>
  </si>
  <si>
    <t>"i am going to kill myself tonight", "my life up until now has been shit", "make sure i do it the right way so that i am gone", "tired of not feeling valued"</t>
  </si>
  <si>
    <t>Honestly I do not know where to begin. I am shaking as I write this because I am finally admitting something to myself. I am admitting that I need help. Since high school I have been having thoughts of killing myself how I would do it where I would do it what I would say in a letter etc. I am usually a happy person on the outside but I never fit in anywhere and I still feel like I do not en though I put myself out there. My parents blew me off when I first told them how I felt and its been that way since we just do not talk about it because I am a man and men are not supposed to feel. What do you guys do when they creep in the thoughts? I want to go to a doctor and get something to help me feel better but I do not know how to handle it if I have to be medicated and how I would bring it up to my parents. Sorry for wasting yalls time. Where do I begin?</t>
  </si>
  <si>
    <t>"admitting that I need help", "having thoughts of killing myself", "how I would do it", "never fit in anywhere", "parents blew me off"</t>
  </si>
  <si>
    <t>already know again coming a month maybe not really the dream ¡</t>
  </si>
  <si>
    <t>I turned 15 shortly after meeting him. He started out so kind and loving. And then it just... turned. It turned from compliments into me not being able to wear certain things, say certain things, do certain things. I was barely allowed to be online, no longer able to post anything relating to the music I used to create before him.</t>
  </si>
  <si>
    <t>"it just... turned", "not being able to wear certain things", "barely allowed to be online", "no longer able to post anything"</t>
  </si>
  <si>
    <t>1. I am going to be working at a fucking pizza place forever because I am too much of a loser to hold down a real job. Every other job I have walked out of or gotten fired from because I do not want to spens my life working.2. So what do I do instead of working? Do I work on my hobbies? My relationships? No, I just drink. Or smoke pot. All fucking day. I never used to be this bad before. I wastes my entire day today and I probably will tomorrow.3. The one fucking thing I want to do, which is play the drums, I never fucking do. People think I practice all the time. I used to. Now I waste all of my time drinking and smoking. Why? Why cannot I have this one simple fucking thing on this miserable planet? Why? 4. Relationships? No. I will not even fucking write about it. But it is not his fault. I am the one destroying everything. I am the liability. I do not blame him. 5. I will never change. I just will not. I can say I will, but I will not. Tomorrow will be the same. I will make the same choices. I will feel angrier and angrier the more days I waste. who is ruining my life? Me. Who needs to die? Me. I am responsible for this entire shit show of a life that I flushed down the toilet. Did I ever have a chance? Was I born doomed? God fucking damn it I wish I could just die already. I cannot believe I am stuck here for 50 or 60 more years</t>
  </si>
  <si>
    <t>"Who needs to die? Me", "I wish I could just die already", "I am too much of a loser", "I wastes my entire day", "I am responsible for this entire shit show", "Was I born doomed?"</t>
  </si>
  <si>
    <t>I don't feel great I'm 14 and I just wanna die. I have a therapist and shes nice and all but shes doing nothing. I still wanna die. None of my friends ever wanna hang out with me and it makes me feel worse. I've been trying to act more happier if that's the problem but I don't think that's working. I'm just so tired of everything. My dream is to explore the outside and abandoned places but even if I could get out of my bed my parents would never let me get past the front door. Recently two guys at my school said I was fine and I thought that was nice but then my friend told me they were trying use me for my body. It disgusted me. I'm 14. I feel unsafe at school and at home. I know my family loves me but I feel unsafe sometimes. My parents say I dont have depression when I've literally overdoesed on meds just to sleep. They say I have too many problems. Not my fault you probably smoked while you were preg mom. I hate saying all this but its the internet and you dont know who i am. Anyways I wanna kill myself and I dunno what to do .</t>
  </si>
  <si>
    <t>"I just wanna die", "I still wanna die", "overdoesed on meds just to sleep", "I wanna kill myself", "feel unsafe at school and at home", "depression"</t>
  </si>
  <si>
    <t>same as ever, by mail. all it costs me is a 42-cent stamp.</t>
  </si>
  <si>
    <t>My depression comes and goes these past days have been bad. I am so tempted to go to my peace place and go sit on the the bridge that is there. I am so lost with myself I feel so alone even when I am not. My energy is running low and I have to go to work and take care of my siblings I feel like I am going to break one day and self harm again imma try best to not. I keep worrying about money I grew up poor so when I see my account going lower I freak out even though things are going to be ok. I just keep thinking about so much. I cannot even explain it anymore</t>
  </si>
  <si>
    <t>"tempted to go to my peace place and go sit on the the bridge", "feel like I am going to break one day and self harm again", "feel so alone", "energy is running low"</t>
  </si>
  <si>
    <t>I am 16. I failed 10th grade because of struggling with online school and now I am on probation for truancy for 6 months. That really is not that big of an issue for me because I can pass the drug tests and I am a mostly behaved kid. My parents are divorced and they do not get along at all. I see my dad maybe 2-3 times a month and its only ever for a few hours. He beat me once when I was young and I had a horrible stepmom who neglected me and verbally abused me for years. He never got in trouble as my mom did not press charges but that and my stepmom basically ruined our relationship. I have a girlfriend with severe depression and anxiety issues. I will not go into specifics for her sake but Ill just say her alcoholic father caused a lot of her trauma. This girl means the world to me and I want her for as long as I am alive but i just do not know anymore. She smokes weed and vapes and it kills me to watch it. I always try to convince her to stop but she says you know what you signed up for. When I try to talk about it she makes me out as the bad guy every time. It genuinely crushes me like nothing else. All but 1 of her friends are what Id consider addicted to weed and nicotine and they are horrible influences. I try to tell her she needs/deserves better friends and then she calls me controlling. I truly am not controlling I just want the best for her. Her mom and I have discussed it and she agrees with me. Idk it just feels like I am trapped but do not want to escape. I just got my first job at Kohls and i get paid $10/hour more than minimum wage so I feel like I should be happy but honestly I just do not care. I feel like my life is just running on repeat. Same bs day after day and I am so tired. I do not have the guts to end my life but I just want it to stop. I feel lost and alone and like nothings worth it anymore</t>
  </si>
  <si>
    <t>Depression_Passive_Ideation</t>
  </si>
  <si>
    <t>"feel like I am trapped but do not want to escape", "life is just running on repeat", "do not have the guts to end my life but I just want it to stop", "nothings worth it anymore", "Same bs day after day"</t>
  </si>
  <si>
    <t>just burnt my finger on a hot cup of tea ouch</t>
  </si>
  <si>
    <t>reeked of alcohol at the dentist this morning wa drunk when i put on my tshirt realised it had a huge stain dentist looked disgusted</t>
  </si>
  <si>
    <t>QLDHDKSH VERY PROUD OF DREAM PEN CRYING</t>
  </si>
  <si>
    <t>Am free to talk if you want to get something out or for any other reason If anyone needs to talk</t>
  </si>
  <si>
    <t>Normal_Social</t>
  </si>
  <si>
    <t>So yes, I have severe depression. I am in therapy which has proven utterly useless. She talks about BS like learning to love myself, forgiving myself for my past, learning to be happy alone, going out and finding passions, blah, blah, fucking blah. I barely have the desire to get up in the morning, how am I supposed to muster the energy for this shit? Honestly, I am so far from the place of self-care, I want to do everything possible to destroy the life I have left. I do not care about anything. My job?could care less. Friends and family?.do not bring enough joy to offset the misery and let us face it, they just do not understand. Hell, maybe I just throw caution to the wind and live the slut life, take little joys in small moments that I am sure will make me feel worse later. But honestly, how much worse could I possibly feel? I lost everything important to me. My life is meaningless and I just do not care. Road to self destruction</t>
  </si>
  <si>
    <t>"severe depression", "barely have the desire to get up in the morning", "want to do everything possible to destroy the life I have left", "My life is meaningless", "Road to self destruction"</t>
  </si>
  <si>
    <t>rcompo rachel hang outage is neccessary i wa gon na be home this wekend but dumb folk make me work so im free f and sat until</t>
  </si>
  <si>
    <t>just the same old stuff going on for year i feel like i m not good enough for anyone and it make me feel inferior and le than everyone else</t>
  </si>
  <si>
    <t>Depression_Self_Loathing</t>
  </si>
  <si>
    <t>"feel like i m not good enough for anyone", "inferior and le than everyone else", "same old stuff going on for year"</t>
  </si>
  <si>
    <t>I know how. there is no 100% success rate but a chance is still there. I do want to see a light but all I see are shitty lonely times in which I struggle with psychotic symptoms.Someone want to have a chat in the comments? Got plans for tonight</t>
  </si>
  <si>
    <t>"shitty lonely times", "struggle with psychotic symptoms", "Got plans for tonight", "no 100% success rate but a chance is still there"</t>
  </si>
  <si>
    <t>The dog's turn is already on the train, he's asked to come later</t>
  </si>
  <si>
    <t>I recently saw a therapist for the first time in my life and it sucked so bad. Not in the way of who it was or anything like that its just to see how much I have put away over the years and how much I have put up with in all aspects of my life. It was so difficult opening up because I have always seen myself and my work as ordinary as the next person.. but for someone to actually take the time and dive deeper into who I am HURT. Years of compartmentalization, just emptied in an hour and a half it sucked because I felt guilty that I let myself fall because of the actions of others I am no saint but my intentions were always for the better here is to the 1st step.. Its that small moment where you realize damn I am not okay</t>
  </si>
  <si>
    <t>"realize damn I am not okay", "Years of compartmentalization", "felt guilty that I let myself fall", "sucked so bad"</t>
  </si>
  <si>
    <t>I do not necessarily fear death, but at the same I just cannot bring my self to actually kill my self beacuse I am affaid I would just mess it up and be forced to go to the psych ward. I do and do not want to kill my self at the same time.</t>
  </si>
  <si>
    <t>Suicidal_Ambivalence</t>
  </si>
  <si>
    <t>"do not necessarily fear death", "affaid I would just mess it up", "do and do not want to kill my self at the same time"</t>
  </si>
  <si>
    <t>it s not easy being useless i am honestly just considering quitting my job and spending these last few day in a hedonistic fashion i hate my family so their feeling don t matter i never understood the logic that i shouldn t kill myself because it would make other people sad it seems like everyone is for doing what s best for you until that thing that s best for you is suicide the rule for suicide are different because when you re suicidal you have to throw what s best for you out the window and do what other people want for you and that s fucking bullshit</t>
  </si>
  <si>
    <t>"spending these last few day in a hedonistic fashion", "shouldn t kill myself because it would make other people sad", "rule for suicide are different", "when you re suicidal"</t>
  </si>
  <si>
    <t>you can travel all over the world.</t>
  </si>
  <si>
    <t>So I know suicidal feelings are probably the result of trauma and modern life, capitalism sucks, but most definitely a parent making you feel like you do not deserve your existence and it is definitely my case, but being aware of it does not solve anything. I feel unable to heal. I feel like I cannot move on. I feel like I am tired. I cannot go on. I am too young to be living on my own. I want my dad to tell me he loves me but I pushed him away. I want to play with his Xbox. I want to hang out with him. I want him to help me pay a doctor and help me figure out what is going on inside my mind because my mom abused me so bad. I want to go running with him. But I cannot because I ruined our relationship and I cannot fix it, and I am afraid to fix it. I want my ex to hold me but I pushed him away too. I want to never have hurt important friends in my life, but it is too late. I want to become better at singing but I cannot bring myself to be disciplined enough to practice. I want to workout but I do not feel like it. I want to be good at my job but I am always fucking up when my boss is present and she thinks I am mediocre. I want to be okay but I do not feel ready to be okay. I am not used to the absence of caos. I feel like trying to get better is a trap. I feel like my mother's abuse started from the moment she decided to conceive me and killing myself would be actually rebelling against her because maybe the fact that I am still here, suffering, without justice for what she did to me, is exactly what she wants, but I cannot stop feeling so much pain in my soul. I am too tired. I cannot go on. I cannot do this. I want out. I cannot be fixed</t>
  </si>
  <si>
    <t>"suicidal feelings", "parent making you feel like you do not deserve your existence", "I cannot go on", "killing myself would be actually rebelling against her", "I want out", "I cannot be fixed"</t>
  </si>
  <si>
    <t>djalizay i really don t think people choose to be that way but i think he chose not to accept my family s help he might be dead by now</t>
  </si>
  <si>
    <t>No. Depression:</t>
  </si>
  <si>
    <t>Total matches:</t>
  </si>
  <si>
    <t>No. Suicidal:</t>
  </si>
  <si>
    <t>Total mismatches:</t>
  </si>
  <si>
    <t>No. Normal: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</si>
</sst>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6.0"/>
      <color theme="1"/>
      <name val="Arial"/>
      <scheme val="minor"/>
    </font>
    <font>
      <color theme="1"/>
      <name val="Arial"/>
      <scheme val="minor"/>
    </font>
  </fonts>
  <fills count="7">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1" numFmtId="0" xfId="0" applyAlignment="1" applyFill="1" applyFont="1">
      <alignment horizontal="center" readingOrder="0"/>
    </xf>
    <xf borderId="1" fillId="0" fontId="2" numFmtId="0" xfId="0" applyAlignment="1" applyBorder="1" applyFont="1">
      <alignment readingOrder="0"/>
    </xf>
    <xf borderId="1" fillId="4" fontId="2" numFmtId="0" xfId="0" applyAlignment="1" applyBorder="1" applyFill="1" applyFont="1">
      <alignment readingOrder="0"/>
    </xf>
    <xf borderId="1" fillId="3" fontId="2" numFmtId="0" xfId="0" applyAlignment="1" applyBorder="1" applyFont="1">
      <alignment readingOrder="0"/>
    </xf>
    <xf borderId="1" fillId="5" fontId="2" numFmtId="0" xfId="0" applyBorder="1" applyFill="1" applyFont="1"/>
    <xf borderId="1" fillId="5" fontId="2" numFmtId="0" xfId="0" applyAlignment="1" applyBorder="1" applyFont="1">
      <alignment readingOrder="0"/>
    </xf>
    <xf borderId="1" fillId="0" fontId="2" numFmtId="0" xfId="0" applyBorder="1" applyFont="1"/>
    <xf borderId="1" fillId="6" fontId="2" numFmtId="0" xfId="0" applyAlignment="1" applyBorder="1" applyFill="1" applyFont="1">
      <alignment readingOrder="0"/>
    </xf>
    <xf borderId="0" fillId="0" fontId="2" numFmtId="0" xfId="0" applyAlignment="1" applyFont="1">
      <alignment readingOrder="0"/>
    </xf>
    <xf borderId="0" fillId="3"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88"/>
    <col customWidth="1" min="2" max="2" width="31.75"/>
    <col customWidth="1" min="3" max="3" width="28.13"/>
    <col customWidth="1" min="4" max="4" width="37.25"/>
    <col customWidth="1" min="5" max="5" width="32.75"/>
    <col customWidth="1" min="6" max="7" width="38.38"/>
    <col customWidth="1" min="8" max="8" width="26.13"/>
    <col customWidth="1" min="9" max="10" width="29.75"/>
  </cols>
  <sheetData>
    <row r="1">
      <c r="A1" s="1" t="s">
        <v>0</v>
      </c>
      <c r="B1" s="1" t="s">
        <v>1</v>
      </c>
      <c r="C1" s="1" t="s">
        <v>2</v>
      </c>
      <c r="D1" s="1" t="s">
        <v>3</v>
      </c>
      <c r="E1" s="1" t="s">
        <v>4</v>
      </c>
      <c r="F1" s="1" t="s">
        <v>5</v>
      </c>
      <c r="G1" s="2"/>
      <c r="H1" s="2"/>
      <c r="I1" s="2"/>
      <c r="J1" s="2"/>
    </row>
    <row r="2">
      <c r="A2" s="3" t="s">
        <v>6</v>
      </c>
      <c r="B2" s="4" t="s">
        <v>7</v>
      </c>
      <c r="C2" s="4" t="s">
        <v>7</v>
      </c>
      <c r="D2" s="5" t="s">
        <v>8</v>
      </c>
      <c r="E2" s="3" t="s">
        <v>9</v>
      </c>
      <c r="F2" s="6">
        <f t="shared" ref="F2:F61" si="1">IF(B2=C2,1,0)</f>
        <v>1</v>
      </c>
    </row>
    <row r="3">
      <c r="A3" s="3" t="s">
        <v>10</v>
      </c>
      <c r="B3" s="4" t="s">
        <v>7</v>
      </c>
      <c r="C3" s="4" t="s">
        <v>7</v>
      </c>
      <c r="D3" s="3" t="s">
        <v>11</v>
      </c>
      <c r="E3" s="3" t="s">
        <v>12</v>
      </c>
      <c r="F3" s="6">
        <f t="shared" si="1"/>
        <v>1</v>
      </c>
    </row>
    <row r="4">
      <c r="A4" s="3" t="s">
        <v>13</v>
      </c>
      <c r="B4" s="7" t="s">
        <v>14</v>
      </c>
      <c r="C4" s="7" t="s">
        <v>14</v>
      </c>
      <c r="D4" s="3" t="s">
        <v>15</v>
      </c>
      <c r="E4" s="8"/>
      <c r="F4" s="6">
        <f t="shared" si="1"/>
        <v>1</v>
      </c>
    </row>
    <row r="5">
      <c r="A5" s="3" t="s">
        <v>16</v>
      </c>
      <c r="B5" s="9" t="s">
        <v>17</v>
      </c>
      <c r="C5" s="9" t="s">
        <v>17</v>
      </c>
      <c r="D5" s="3" t="s">
        <v>18</v>
      </c>
      <c r="E5" s="3" t="s">
        <v>19</v>
      </c>
      <c r="F5" s="6">
        <f t="shared" si="1"/>
        <v>1</v>
      </c>
    </row>
    <row r="6">
      <c r="A6" s="3" t="s">
        <v>20</v>
      </c>
      <c r="B6" s="4" t="s">
        <v>7</v>
      </c>
      <c r="C6" s="4" t="s">
        <v>7</v>
      </c>
      <c r="D6" s="5" t="s">
        <v>8</v>
      </c>
      <c r="E6" s="3" t="s">
        <v>21</v>
      </c>
      <c r="F6" s="6">
        <f t="shared" si="1"/>
        <v>1</v>
      </c>
    </row>
    <row r="7">
      <c r="A7" s="3" t="s">
        <v>22</v>
      </c>
      <c r="B7" s="9" t="s">
        <v>17</v>
      </c>
      <c r="C7" s="4" t="s">
        <v>7</v>
      </c>
      <c r="D7" s="5" t="s">
        <v>8</v>
      </c>
      <c r="E7" s="3" t="s">
        <v>23</v>
      </c>
      <c r="F7" s="8">
        <f t="shared" si="1"/>
        <v>0</v>
      </c>
    </row>
    <row r="8">
      <c r="A8" s="3" t="s">
        <v>24</v>
      </c>
      <c r="B8" s="7" t="s">
        <v>14</v>
      </c>
      <c r="C8" s="7" t="s">
        <v>14</v>
      </c>
      <c r="D8" s="5" t="s">
        <v>25</v>
      </c>
      <c r="E8" s="8"/>
      <c r="F8" s="6">
        <f t="shared" si="1"/>
        <v>1</v>
      </c>
    </row>
    <row r="9">
      <c r="A9" s="3" t="s">
        <v>26</v>
      </c>
      <c r="B9" s="9" t="s">
        <v>17</v>
      </c>
      <c r="C9" s="9" t="s">
        <v>17</v>
      </c>
      <c r="D9" s="3" t="s">
        <v>27</v>
      </c>
      <c r="E9" s="3" t="s">
        <v>28</v>
      </c>
      <c r="F9" s="6">
        <f t="shared" si="1"/>
        <v>1</v>
      </c>
    </row>
    <row r="10" ht="14.25" customHeight="1">
      <c r="A10" s="3" t="s">
        <v>29</v>
      </c>
      <c r="B10" s="4" t="s">
        <v>7</v>
      </c>
      <c r="C10" s="4" t="s">
        <v>7</v>
      </c>
      <c r="D10" s="3" t="s">
        <v>30</v>
      </c>
      <c r="E10" s="3" t="s">
        <v>31</v>
      </c>
      <c r="F10" s="6">
        <f t="shared" si="1"/>
        <v>1</v>
      </c>
    </row>
    <row r="11" ht="18.0" customHeight="1">
      <c r="A11" s="3" t="s">
        <v>32</v>
      </c>
      <c r="B11" s="9" t="s">
        <v>17</v>
      </c>
      <c r="C11" s="9" t="s">
        <v>17</v>
      </c>
      <c r="D11" s="3" t="s">
        <v>27</v>
      </c>
      <c r="E11" s="3" t="s">
        <v>33</v>
      </c>
      <c r="F11" s="6">
        <f t="shared" si="1"/>
        <v>1</v>
      </c>
    </row>
    <row r="12">
      <c r="A12" s="3" t="s">
        <v>34</v>
      </c>
      <c r="B12" s="9" t="s">
        <v>17</v>
      </c>
      <c r="C12" s="9" t="s">
        <v>17</v>
      </c>
      <c r="D12" s="3" t="s">
        <v>27</v>
      </c>
      <c r="E12" s="3" t="s">
        <v>35</v>
      </c>
      <c r="F12" s="6">
        <f t="shared" si="1"/>
        <v>1</v>
      </c>
    </row>
    <row r="13">
      <c r="A13" s="3" t="s">
        <v>36</v>
      </c>
      <c r="B13" s="9" t="s">
        <v>17</v>
      </c>
      <c r="C13" s="9" t="s">
        <v>17</v>
      </c>
      <c r="D13" s="3" t="s">
        <v>27</v>
      </c>
      <c r="E13" s="3" t="s">
        <v>37</v>
      </c>
      <c r="F13" s="6">
        <f t="shared" si="1"/>
        <v>1</v>
      </c>
    </row>
    <row r="14">
      <c r="A14" s="3" t="s">
        <v>38</v>
      </c>
      <c r="B14" s="7" t="s">
        <v>14</v>
      </c>
      <c r="C14" s="7" t="s">
        <v>14</v>
      </c>
      <c r="D14" s="5" t="s">
        <v>25</v>
      </c>
      <c r="E14" s="8"/>
      <c r="F14" s="6">
        <f t="shared" si="1"/>
        <v>1</v>
      </c>
    </row>
    <row r="15">
      <c r="A15" s="3" t="s">
        <v>39</v>
      </c>
      <c r="B15" s="4" t="s">
        <v>7</v>
      </c>
      <c r="C15" s="4" t="s">
        <v>7</v>
      </c>
      <c r="D15" s="3" t="s">
        <v>30</v>
      </c>
      <c r="E15" s="3" t="s">
        <v>40</v>
      </c>
      <c r="F15" s="6">
        <f t="shared" si="1"/>
        <v>1</v>
      </c>
    </row>
    <row r="16">
      <c r="A16" s="3" t="s">
        <v>41</v>
      </c>
      <c r="B16" s="9" t="s">
        <v>17</v>
      </c>
      <c r="C16" s="9" t="s">
        <v>17</v>
      </c>
      <c r="D16" s="3" t="s">
        <v>42</v>
      </c>
      <c r="E16" s="3" t="s">
        <v>43</v>
      </c>
      <c r="F16" s="6">
        <f t="shared" si="1"/>
        <v>1</v>
      </c>
    </row>
    <row r="17">
      <c r="A17" s="3" t="s">
        <v>44</v>
      </c>
      <c r="B17" s="4" t="s">
        <v>7</v>
      </c>
      <c r="C17" s="4" t="s">
        <v>7</v>
      </c>
      <c r="D17" s="3" t="s">
        <v>11</v>
      </c>
      <c r="E17" s="3" t="s">
        <v>45</v>
      </c>
      <c r="F17" s="6">
        <f t="shared" si="1"/>
        <v>1</v>
      </c>
    </row>
    <row r="18">
      <c r="A18" s="3" t="s">
        <v>46</v>
      </c>
      <c r="B18" s="4" t="s">
        <v>7</v>
      </c>
      <c r="C18" s="4" t="s">
        <v>7</v>
      </c>
      <c r="D18" s="3" t="s">
        <v>11</v>
      </c>
      <c r="E18" s="3" t="s">
        <v>47</v>
      </c>
      <c r="F18" s="6">
        <f t="shared" si="1"/>
        <v>1</v>
      </c>
    </row>
    <row r="19">
      <c r="A19" s="3" t="s">
        <v>48</v>
      </c>
      <c r="B19" s="4" t="s">
        <v>7</v>
      </c>
      <c r="C19" s="4" t="s">
        <v>7</v>
      </c>
      <c r="D19" s="3" t="s">
        <v>11</v>
      </c>
      <c r="E19" s="3" t="s">
        <v>49</v>
      </c>
      <c r="F19" s="6">
        <f t="shared" si="1"/>
        <v>1</v>
      </c>
    </row>
    <row r="20" ht="15.0" customHeight="1">
      <c r="A20" s="3" t="s">
        <v>50</v>
      </c>
      <c r="B20" s="9" t="s">
        <v>17</v>
      </c>
      <c r="C20" s="9" t="s">
        <v>17</v>
      </c>
      <c r="D20" s="3" t="s">
        <v>27</v>
      </c>
      <c r="E20" s="3" t="s">
        <v>51</v>
      </c>
      <c r="F20" s="6">
        <f t="shared" si="1"/>
        <v>1</v>
      </c>
    </row>
    <row r="21">
      <c r="A21" s="3" t="s">
        <v>52</v>
      </c>
      <c r="B21" s="4" t="s">
        <v>7</v>
      </c>
      <c r="C21" s="4" t="s">
        <v>7</v>
      </c>
      <c r="D21" s="3" t="s">
        <v>30</v>
      </c>
      <c r="E21" s="3" t="s">
        <v>53</v>
      </c>
      <c r="F21" s="6">
        <f t="shared" si="1"/>
        <v>1</v>
      </c>
    </row>
    <row r="22">
      <c r="A22" s="3" t="s">
        <v>54</v>
      </c>
      <c r="B22" s="9" t="s">
        <v>17</v>
      </c>
      <c r="C22" s="9" t="s">
        <v>17</v>
      </c>
      <c r="D22" s="3" t="s">
        <v>18</v>
      </c>
      <c r="E22" s="3" t="s">
        <v>55</v>
      </c>
      <c r="F22" s="6">
        <f t="shared" si="1"/>
        <v>1</v>
      </c>
    </row>
    <row r="23">
      <c r="A23" s="3" t="s">
        <v>56</v>
      </c>
      <c r="B23" s="4" t="s">
        <v>7</v>
      </c>
      <c r="C23" s="9" t="s">
        <v>17</v>
      </c>
      <c r="D23" s="3" t="s">
        <v>27</v>
      </c>
      <c r="E23" s="3" t="s">
        <v>57</v>
      </c>
      <c r="F23" s="8">
        <f t="shared" si="1"/>
        <v>0</v>
      </c>
    </row>
    <row r="24">
      <c r="A24" s="3" t="s">
        <v>58</v>
      </c>
      <c r="B24" s="7" t="s">
        <v>14</v>
      </c>
      <c r="C24" s="7" t="s">
        <v>14</v>
      </c>
      <c r="D24" s="3" t="s">
        <v>59</v>
      </c>
      <c r="E24" s="8"/>
      <c r="F24" s="6">
        <f t="shared" si="1"/>
        <v>1</v>
      </c>
    </row>
    <row r="25">
      <c r="A25" s="3" t="s">
        <v>60</v>
      </c>
      <c r="B25" s="9" t="s">
        <v>17</v>
      </c>
      <c r="C25" s="9" t="s">
        <v>17</v>
      </c>
      <c r="D25" s="3" t="s">
        <v>27</v>
      </c>
      <c r="E25" s="3" t="s">
        <v>61</v>
      </c>
      <c r="F25" s="6">
        <f t="shared" si="1"/>
        <v>1</v>
      </c>
    </row>
    <row r="26">
      <c r="A26" s="3" t="s">
        <v>62</v>
      </c>
      <c r="B26" s="7" t="s">
        <v>14</v>
      </c>
      <c r="C26" s="7" t="s">
        <v>14</v>
      </c>
      <c r="D26" s="3" t="s">
        <v>15</v>
      </c>
      <c r="E26" s="8"/>
      <c r="F26" s="6">
        <f t="shared" si="1"/>
        <v>1</v>
      </c>
    </row>
    <row r="27">
      <c r="A27" s="3" t="s">
        <v>63</v>
      </c>
      <c r="B27" s="9" t="s">
        <v>17</v>
      </c>
      <c r="C27" s="4" t="s">
        <v>7</v>
      </c>
      <c r="D27" s="3" t="s">
        <v>64</v>
      </c>
      <c r="E27" s="3" t="s">
        <v>65</v>
      </c>
      <c r="F27" s="8">
        <f t="shared" si="1"/>
        <v>0</v>
      </c>
    </row>
    <row r="28">
      <c r="A28" s="3" t="s">
        <v>66</v>
      </c>
      <c r="B28" s="4" t="s">
        <v>7</v>
      </c>
      <c r="C28" s="9" t="s">
        <v>17</v>
      </c>
      <c r="D28" s="3" t="s">
        <v>27</v>
      </c>
      <c r="E28" s="3" t="s">
        <v>67</v>
      </c>
      <c r="F28" s="8">
        <f t="shared" si="1"/>
        <v>0</v>
      </c>
    </row>
    <row r="29">
      <c r="A29" s="3" t="s">
        <v>68</v>
      </c>
      <c r="B29" s="7" t="s">
        <v>14</v>
      </c>
      <c r="C29" s="7" t="s">
        <v>14</v>
      </c>
      <c r="D29" s="3" t="s">
        <v>59</v>
      </c>
      <c r="E29" s="8"/>
      <c r="F29" s="6">
        <f t="shared" si="1"/>
        <v>1</v>
      </c>
    </row>
    <row r="30">
      <c r="A30" s="3" t="s">
        <v>69</v>
      </c>
      <c r="B30" s="4" t="s">
        <v>7</v>
      </c>
      <c r="C30" s="4" t="s">
        <v>7</v>
      </c>
      <c r="D30" s="3" t="s">
        <v>11</v>
      </c>
      <c r="E30" s="3" t="s">
        <v>70</v>
      </c>
      <c r="F30" s="6">
        <f t="shared" si="1"/>
        <v>1</v>
      </c>
    </row>
    <row r="31">
      <c r="A31" s="3" t="s">
        <v>71</v>
      </c>
      <c r="B31" s="7" t="s">
        <v>14</v>
      </c>
      <c r="C31" s="7" t="s">
        <v>14</v>
      </c>
      <c r="D31" s="3" t="s">
        <v>59</v>
      </c>
      <c r="E31" s="8"/>
      <c r="F31" s="6">
        <f t="shared" si="1"/>
        <v>1</v>
      </c>
    </row>
    <row r="32">
      <c r="A32" s="3" t="s">
        <v>72</v>
      </c>
      <c r="B32" s="7" t="s">
        <v>14</v>
      </c>
      <c r="C32" s="7" t="s">
        <v>14</v>
      </c>
      <c r="D32" s="3" t="s">
        <v>59</v>
      </c>
      <c r="E32" s="8"/>
      <c r="F32" s="6">
        <f t="shared" si="1"/>
        <v>1</v>
      </c>
    </row>
    <row r="33">
      <c r="A33" s="3" t="s">
        <v>73</v>
      </c>
      <c r="B33" s="4" t="s">
        <v>7</v>
      </c>
      <c r="C33" s="9" t="s">
        <v>17</v>
      </c>
      <c r="D33" s="3" t="s">
        <v>27</v>
      </c>
      <c r="E33" s="3" t="s">
        <v>74</v>
      </c>
      <c r="F33" s="8">
        <f t="shared" si="1"/>
        <v>0</v>
      </c>
    </row>
    <row r="34">
      <c r="A34" s="3" t="s">
        <v>75</v>
      </c>
      <c r="B34" s="7" t="s">
        <v>14</v>
      </c>
      <c r="C34" s="7" t="s">
        <v>14</v>
      </c>
      <c r="D34" s="3" t="s">
        <v>59</v>
      </c>
      <c r="E34" s="8"/>
      <c r="F34" s="6">
        <f t="shared" si="1"/>
        <v>1</v>
      </c>
    </row>
    <row r="35">
      <c r="A35" s="3" t="s">
        <v>76</v>
      </c>
      <c r="B35" s="9" t="s">
        <v>17</v>
      </c>
      <c r="C35" s="9" t="s">
        <v>17</v>
      </c>
      <c r="D35" s="3" t="s">
        <v>27</v>
      </c>
      <c r="E35" s="3" t="s">
        <v>77</v>
      </c>
      <c r="F35" s="6">
        <f t="shared" si="1"/>
        <v>1</v>
      </c>
    </row>
    <row r="36">
      <c r="A36" s="3" t="s">
        <v>78</v>
      </c>
      <c r="B36" s="4" t="s">
        <v>7</v>
      </c>
      <c r="C36" s="4" t="s">
        <v>7</v>
      </c>
      <c r="D36" s="3" t="s">
        <v>30</v>
      </c>
      <c r="E36" s="3" t="s">
        <v>79</v>
      </c>
      <c r="F36" s="6">
        <f t="shared" si="1"/>
        <v>1</v>
      </c>
    </row>
    <row r="37">
      <c r="A37" s="3" t="s">
        <v>80</v>
      </c>
      <c r="B37" s="7" t="s">
        <v>14</v>
      </c>
      <c r="C37" s="7" t="s">
        <v>14</v>
      </c>
      <c r="D37" s="5" t="s">
        <v>25</v>
      </c>
      <c r="E37" s="8"/>
      <c r="F37" s="6">
        <f t="shared" si="1"/>
        <v>1</v>
      </c>
    </row>
    <row r="38">
      <c r="A38" s="3" t="s">
        <v>81</v>
      </c>
      <c r="B38" s="9" t="s">
        <v>17</v>
      </c>
      <c r="C38" s="9" t="s">
        <v>17</v>
      </c>
      <c r="D38" s="3" t="s">
        <v>18</v>
      </c>
      <c r="E38" s="3" t="s">
        <v>82</v>
      </c>
      <c r="F38" s="6">
        <f t="shared" si="1"/>
        <v>1</v>
      </c>
    </row>
    <row r="39">
      <c r="A39" s="3" t="s">
        <v>83</v>
      </c>
      <c r="B39" s="9" t="s">
        <v>17</v>
      </c>
      <c r="C39" s="9" t="s">
        <v>17</v>
      </c>
      <c r="D39" s="3" t="s">
        <v>27</v>
      </c>
      <c r="E39" s="3" t="s">
        <v>84</v>
      </c>
      <c r="F39" s="6">
        <f t="shared" si="1"/>
        <v>1</v>
      </c>
    </row>
    <row r="40">
      <c r="A40" s="3" t="s">
        <v>85</v>
      </c>
      <c r="B40" s="7" t="s">
        <v>14</v>
      </c>
      <c r="C40" s="7" t="s">
        <v>14</v>
      </c>
      <c r="D40" s="3" t="s">
        <v>15</v>
      </c>
      <c r="E40" s="8"/>
      <c r="F40" s="6">
        <f t="shared" si="1"/>
        <v>1</v>
      </c>
    </row>
    <row r="41">
      <c r="A41" s="3" t="s">
        <v>86</v>
      </c>
      <c r="B41" s="7" t="s">
        <v>14</v>
      </c>
      <c r="C41" s="4" t="s">
        <v>7</v>
      </c>
      <c r="D41" s="3" t="s">
        <v>30</v>
      </c>
      <c r="E41" s="3" t="s">
        <v>87</v>
      </c>
      <c r="F41" s="8">
        <f t="shared" si="1"/>
        <v>0</v>
      </c>
    </row>
    <row r="42">
      <c r="A42" s="3" t="s">
        <v>88</v>
      </c>
      <c r="B42" s="9" t="s">
        <v>17</v>
      </c>
      <c r="C42" s="9" t="s">
        <v>17</v>
      </c>
      <c r="D42" s="3" t="s">
        <v>27</v>
      </c>
      <c r="E42" s="3" t="s">
        <v>89</v>
      </c>
      <c r="F42" s="6">
        <f t="shared" si="1"/>
        <v>1</v>
      </c>
    </row>
    <row r="43">
      <c r="A43" s="3" t="s">
        <v>90</v>
      </c>
      <c r="B43" s="4" t="s">
        <v>7</v>
      </c>
      <c r="C43" s="9" t="s">
        <v>17</v>
      </c>
      <c r="D43" s="3" t="s">
        <v>27</v>
      </c>
      <c r="E43" s="3" t="s">
        <v>91</v>
      </c>
      <c r="F43" s="8">
        <f t="shared" si="1"/>
        <v>0</v>
      </c>
    </row>
    <row r="44">
      <c r="A44" s="3" t="s">
        <v>92</v>
      </c>
      <c r="B44" s="7" t="s">
        <v>14</v>
      </c>
      <c r="C44" s="7" t="s">
        <v>14</v>
      </c>
      <c r="D44" s="3" t="s">
        <v>59</v>
      </c>
      <c r="E44" s="8"/>
      <c r="F44" s="6">
        <f t="shared" si="1"/>
        <v>1</v>
      </c>
    </row>
    <row r="45">
      <c r="A45" s="3" t="s">
        <v>93</v>
      </c>
      <c r="B45" s="4" t="s">
        <v>7</v>
      </c>
      <c r="C45" s="4" t="s">
        <v>7</v>
      </c>
      <c r="D45" s="3" t="s">
        <v>11</v>
      </c>
      <c r="E45" s="3" t="s">
        <v>94</v>
      </c>
      <c r="F45" s="6">
        <f t="shared" si="1"/>
        <v>1</v>
      </c>
    </row>
    <row r="46">
      <c r="A46" s="3" t="s">
        <v>95</v>
      </c>
      <c r="B46" s="9" t="s">
        <v>17</v>
      </c>
      <c r="C46" s="4" t="s">
        <v>7</v>
      </c>
      <c r="D46" s="3" t="s">
        <v>96</v>
      </c>
      <c r="E46" s="3" t="s">
        <v>97</v>
      </c>
      <c r="F46" s="8">
        <f t="shared" si="1"/>
        <v>0</v>
      </c>
    </row>
    <row r="47">
      <c r="A47" s="3" t="s">
        <v>98</v>
      </c>
      <c r="B47" s="7" t="s">
        <v>14</v>
      </c>
      <c r="C47" s="7" t="s">
        <v>14</v>
      </c>
      <c r="D47" s="3" t="s">
        <v>59</v>
      </c>
      <c r="E47" s="8"/>
      <c r="F47" s="6">
        <f t="shared" si="1"/>
        <v>1</v>
      </c>
    </row>
    <row r="48">
      <c r="A48" s="3" t="s">
        <v>99</v>
      </c>
      <c r="B48" s="7" t="s">
        <v>14</v>
      </c>
      <c r="C48" s="7" t="s">
        <v>14</v>
      </c>
      <c r="D48" s="3" t="s">
        <v>59</v>
      </c>
      <c r="E48" s="8"/>
      <c r="F48" s="6">
        <f t="shared" si="1"/>
        <v>1</v>
      </c>
    </row>
    <row r="49">
      <c r="A49" s="3" t="s">
        <v>100</v>
      </c>
      <c r="B49" s="7" t="s">
        <v>14</v>
      </c>
      <c r="C49" s="7" t="s">
        <v>14</v>
      </c>
      <c r="D49" s="3" t="s">
        <v>59</v>
      </c>
      <c r="E49" s="8"/>
      <c r="F49" s="6">
        <f t="shared" si="1"/>
        <v>1</v>
      </c>
    </row>
    <row r="50">
      <c r="A50" s="3" t="s">
        <v>101</v>
      </c>
      <c r="B50" s="9" t="s">
        <v>17</v>
      </c>
      <c r="C50" s="7" t="s">
        <v>14</v>
      </c>
      <c r="D50" s="5" t="s">
        <v>102</v>
      </c>
      <c r="E50" s="8"/>
      <c r="F50" s="8">
        <f t="shared" si="1"/>
        <v>0</v>
      </c>
    </row>
    <row r="51">
      <c r="A51" s="3" t="s">
        <v>103</v>
      </c>
      <c r="B51" s="4" t="s">
        <v>7</v>
      </c>
      <c r="C51" s="4" t="s">
        <v>7</v>
      </c>
      <c r="D51" s="3" t="s">
        <v>11</v>
      </c>
      <c r="E51" s="3" t="s">
        <v>104</v>
      </c>
      <c r="F51" s="6">
        <f t="shared" si="1"/>
        <v>1</v>
      </c>
    </row>
    <row r="52">
      <c r="A52" s="3" t="s">
        <v>105</v>
      </c>
      <c r="B52" s="7" t="s">
        <v>14</v>
      </c>
      <c r="C52" s="7" t="s">
        <v>14</v>
      </c>
      <c r="D52" s="3" t="s">
        <v>59</v>
      </c>
      <c r="E52" s="8"/>
      <c r="F52" s="6">
        <f t="shared" si="1"/>
        <v>1</v>
      </c>
    </row>
    <row r="53">
      <c r="A53" s="3" t="s">
        <v>106</v>
      </c>
      <c r="B53" s="4" t="s">
        <v>7</v>
      </c>
      <c r="C53" s="4" t="s">
        <v>7</v>
      </c>
      <c r="D53" s="3" t="s">
        <v>107</v>
      </c>
      <c r="E53" s="3" t="s">
        <v>108</v>
      </c>
      <c r="F53" s="6">
        <f t="shared" si="1"/>
        <v>1</v>
      </c>
    </row>
    <row r="54">
      <c r="A54" s="3" t="s">
        <v>109</v>
      </c>
      <c r="B54" s="9" t="s">
        <v>17</v>
      </c>
      <c r="C54" s="9" t="s">
        <v>17</v>
      </c>
      <c r="D54" s="3" t="s">
        <v>18</v>
      </c>
      <c r="E54" s="3" t="s">
        <v>110</v>
      </c>
      <c r="F54" s="8">
        <f t="shared" si="1"/>
        <v>1</v>
      </c>
    </row>
    <row r="55">
      <c r="A55" s="3" t="s">
        <v>111</v>
      </c>
      <c r="B55" s="7" t="s">
        <v>14</v>
      </c>
      <c r="C55" s="7" t="s">
        <v>14</v>
      </c>
      <c r="D55" s="3" t="s">
        <v>59</v>
      </c>
      <c r="E55" s="8"/>
      <c r="F55" s="6">
        <f t="shared" si="1"/>
        <v>1</v>
      </c>
    </row>
    <row r="56">
      <c r="A56" s="3" t="s">
        <v>112</v>
      </c>
      <c r="B56" s="4" t="s">
        <v>7</v>
      </c>
      <c r="C56" s="4" t="s">
        <v>7</v>
      </c>
      <c r="D56" s="3" t="s">
        <v>107</v>
      </c>
      <c r="E56" s="3" t="s">
        <v>113</v>
      </c>
      <c r="F56" s="6">
        <f t="shared" si="1"/>
        <v>1</v>
      </c>
    </row>
    <row r="57">
      <c r="A57" s="3" t="s">
        <v>114</v>
      </c>
      <c r="B57" s="9" t="s">
        <v>17</v>
      </c>
      <c r="C57" s="9" t="s">
        <v>17</v>
      </c>
      <c r="D57" s="10" t="s">
        <v>115</v>
      </c>
      <c r="E57" s="3" t="s">
        <v>116</v>
      </c>
      <c r="F57" s="6">
        <f t="shared" si="1"/>
        <v>1</v>
      </c>
    </row>
    <row r="58">
      <c r="A58" s="3" t="s">
        <v>117</v>
      </c>
      <c r="B58" s="4" t="s">
        <v>7</v>
      </c>
      <c r="C58" s="9" t="s">
        <v>17</v>
      </c>
      <c r="D58" s="3" t="s">
        <v>18</v>
      </c>
      <c r="E58" s="3" t="s">
        <v>118</v>
      </c>
      <c r="F58" s="8">
        <f t="shared" si="1"/>
        <v>0</v>
      </c>
    </row>
    <row r="59">
      <c r="A59" s="3" t="s">
        <v>119</v>
      </c>
      <c r="B59" s="7" t="s">
        <v>14</v>
      </c>
      <c r="C59" s="7" t="s">
        <v>14</v>
      </c>
      <c r="D59" s="3" t="s">
        <v>59</v>
      </c>
      <c r="E59" s="8"/>
      <c r="F59" s="6">
        <f t="shared" si="1"/>
        <v>1</v>
      </c>
    </row>
    <row r="60">
      <c r="A60" s="3" t="s">
        <v>120</v>
      </c>
      <c r="B60" s="9" t="s">
        <v>17</v>
      </c>
      <c r="C60" s="9" t="s">
        <v>17</v>
      </c>
      <c r="D60" s="3" t="s">
        <v>27</v>
      </c>
      <c r="E60" s="3" t="s">
        <v>121</v>
      </c>
      <c r="F60" s="6">
        <f t="shared" si="1"/>
        <v>1</v>
      </c>
    </row>
    <row r="61">
      <c r="A61" s="3" t="s">
        <v>122</v>
      </c>
      <c r="B61" s="7" t="s">
        <v>14</v>
      </c>
      <c r="C61" s="7" t="s">
        <v>14</v>
      </c>
      <c r="D61" s="3" t="s">
        <v>59</v>
      </c>
      <c r="E61" s="8"/>
      <c r="F61" s="6">
        <f t="shared" si="1"/>
        <v>1</v>
      </c>
    </row>
    <row r="62">
      <c r="A62" s="11" t="s">
        <v>123</v>
      </c>
      <c r="B62" s="12">
        <f t="shared" ref="B62:C62" si="2">COUNTIF(B2:B61,"Depression")
</f>
        <v>20</v>
      </c>
      <c r="C62" s="12">
        <f t="shared" si="2"/>
        <v>19</v>
      </c>
      <c r="E62" s="10" t="s">
        <v>124</v>
      </c>
      <c r="F62" s="12">
        <f>SUM(F2:F61)</f>
        <v>50</v>
      </c>
    </row>
    <row r="63">
      <c r="A63" s="11" t="s">
        <v>125</v>
      </c>
      <c r="B63" s="12">
        <f t="shared" ref="B63:C63" si="3">COUNTIF(B2:B61,"Suicidal")
</f>
        <v>20</v>
      </c>
      <c r="C63" s="12">
        <f t="shared" si="3"/>
        <v>21</v>
      </c>
      <c r="E63" s="10" t="s">
        <v>126</v>
      </c>
      <c r="F63" s="12">
        <f>60-F62</f>
        <v>10</v>
      </c>
    </row>
    <row r="64">
      <c r="A64" s="11" t="s">
        <v>127</v>
      </c>
      <c r="B64" s="12">
        <f t="shared" ref="B64:C64" si="4">COUNTIF(B2:B61,"Normal")
</f>
        <v>20</v>
      </c>
      <c r="C64" s="12">
        <f t="shared" si="4"/>
        <v>20</v>
      </c>
    </row>
  </sheetData>
  <drawing r:id="rId1"/>
</worksheet>
</file>